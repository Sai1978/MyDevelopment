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/>
  <xr:revisionPtr revIDLastSave="0" documentId="13_ncr:1_{07DEE133-D966-49DA-A8D3-3A18FE2F3880}" xr6:coauthVersionLast="45" xr6:coauthVersionMax="45" xr10:uidLastSave="{00000000-0000-0000-0000-000000000000}"/>
  <bookViews>
    <workbookView xWindow="-98" yWindow="-98" windowWidth="20715" windowHeight="13276" activeTab="5" xr2:uid="{00000000-000D-0000-FFFF-FFFF00000000}"/>
  </bookViews>
  <sheets>
    <sheet name="投资" sheetId="1" r:id="rId1"/>
    <sheet name="Sheet2" sheetId="3" r:id="rId2"/>
    <sheet name="投资配置方案" sheetId="4" r:id="rId3"/>
    <sheet name="Summary" sheetId="7" r:id="rId4"/>
    <sheet name="JJ_MASTER" sheetId="8" r:id="rId5"/>
    <sheet name="基金持有" sheetId="6" r:id="rId6"/>
    <sheet name="钱币投资" sheetId="5" r:id="rId7"/>
  </sheets>
  <definedNames>
    <definedName name="_xlnm._FilterDatabase" localSheetId="5" hidden="1">基金持有!$A$1:$P$19</definedName>
  </definedNames>
  <calcPr calcId="181029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3" l="1"/>
  <c r="K20" i="6" l="1"/>
  <c r="H8" i="7"/>
  <c r="H13" i="7"/>
  <c r="H12" i="7"/>
  <c r="H9" i="7"/>
  <c r="H7" i="7"/>
  <c r="H11" i="7"/>
  <c r="H6" i="7"/>
  <c r="H10" i="7"/>
  <c r="H5" i="7"/>
  <c r="K19" i="6" l="1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2" i="6"/>
  <c r="H10" i="4" l="1"/>
  <c r="J10" i="4" s="1"/>
  <c r="H8" i="4" l="1"/>
  <c r="J8" i="4" s="1"/>
  <c r="H13" i="4"/>
  <c r="J13" i="4" s="1"/>
  <c r="H12" i="4"/>
  <c r="J12" i="4" s="1"/>
  <c r="H11" i="4"/>
  <c r="J11" i="4" s="1"/>
  <c r="H9" i="4"/>
  <c r="J9" i="4" s="1"/>
  <c r="H7" i="4"/>
  <c r="J7" i="4" s="1"/>
  <c r="H6" i="4"/>
  <c r="J6" i="4" s="1"/>
  <c r="H5" i="4"/>
  <c r="J5" i="4" s="1"/>
  <c r="H4" i="4"/>
  <c r="J4" i="4" s="1"/>
  <c r="H3" i="4"/>
  <c r="J3" i="4" s="1"/>
  <c r="J14" i="4" l="1"/>
  <c r="J15" i="4" s="1"/>
  <c r="E15" i="5"/>
</calcChain>
</file>

<file path=xl/sharedStrings.xml><?xml version="1.0" encoding="utf-8"?>
<sst xmlns="http://schemas.openxmlformats.org/spreadsheetml/2006/main" count="239" uniqueCount="156">
  <si>
    <t>No</t>
    <phoneticPr fontId="1" type="noConversion"/>
  </si>
  <si>
    <t>公司</t>
    <phoneticPr fontId="1" type="noConversion"/>
  </si>
  <si>
    <t>股票代码</t>
    <phoneticPr fontId="1" type="noConversion"/>
  </si>
  <si>
    <t>地域</t>
    <phoneticPr fontId="1" type="noConversion"/>
  </si>
  <si>
    <t>行业</t>
    <phoneticPr fontId="1" type="noConversion"/>
  </si>
  <si>
    <t>科大讯飞</t>
    <phoneticPr fontId="1" type="noConversion"/>
  </si>
  <si>
    <t>中国A股</t>
    <phoneticPr fontId="1" type="noConversion"/>
  </si>
  <si>
    <t>AI</t>
    <phoneticPr fontId="1" type="noConversion"/>
  </si>
  <si>
    <t>腾讯控股</t>
    <phoneticPr fontId="1" type="noConversion"/>
  </si>
  <si>
    <t>香港恒生</t>
    <phoneticPr fontId="1" type="noConversion"/>
  </si>
  <si>
    <t>互联网巨头</t>
    <phoneticPr fontId="1" type="noConversion"/>
  </si>
  <si>
    <t>00700</t>
    <phoneticPr fontId="1" type="noConversion"/>
  </si>
  <si>
    <t>数据港</t>
    <phoneticPr fontId="1" type="noConversion"/>
  </si>
  <si>
    <t>西部数据</t>
    <phoneticPr fontId="1" type="noConversion"/>
  </si>
  <si>
    <t>三聚环保</t>
    <phoneticPr fontId="1" type="noConversion"/>
  </si>
  <si>
    <t>调整到位，有启动迹象。</t>
    <phoneticPr fontId="1" type="noConversion"/>
  </si>
  <si>
    <t>华丽家族</t>
    <phoneticPr fontId="1" type="noConversion"/>
  </si>
  <si>
    <t>均线柔和，启动迹象</t>
    <phoneticPr fontId="1" type="noConversion"/>
  </si>
  <si>
    <t>10元2罗马 一刀</t>
    <phoneticPr fontId="1" type="noConversion"/>
  </si>
  <si>
    <t>5元2罗马一刀</t>
    <phoneticPr fontId="1" type="noConversion"/>
  </si>
  <si>
    <t>1元2罗马一刀</t>
    <phoneticPr fontId="1" type="noConversion"/>
  </si>
  <si>
    <t>1元3罗马一刀</t>
    <phoneticPr fontId="1" type="noConversion"/>
  </si>
  <si>
    <t>贰角2罗马一刀</t>
    <phoneticPr fontId="1" type="noConversion"/>
  </si>
  <si>
    <t>壹角</t>
    <phoneticPr fontId="1" type="noConversion"/>
  </si>
  <si>
    <t>第二套1953年浅水坝五角百连</t>
  </si>
  <si>
    <t>No</t>
    <phoneticPr fontId="1" type="noConversion"/>
  </si>
  <si>
    <t>月份</t>
    <phoneticPr fontId="1" type="noConversion"/>
  </si>
  <si>
    <t>工资</t>
    <phoneticPr fontId="1" type="noConversion"/>
  </si>
  <si>
    <t>黄金</t>
    <phoneticPr fontId="1" type="noConversion"/>
  </si>
  <si>
    <t>No</t>
    <phoneticPr fontId="1" type="noConversion"/>
  </si>
  <si>
    <t>大类别</t>
    <phoneticPr fontId="1" type="noConversion"/>
  </si>
  <si>
    <t>金额比例</t>
    <phoneticPr fontId="1" type="noConversion"/>
  </si>
  <si>
    <t>总额</t>
    <phoneticPr fontId="1" type="noConversion"/>
  </si>
  <si>
    <t>收益率</t>
    <phoneticPr fontId="1" type="noConversion"/>
  </si>
  <si>
    <t>单位：万元</t>
    <phoneticPr fontId="1" type="noConversion"/>
  </si>
  <si>
    <t>理财产品</t>
    <phoneticPr fontId="1" type="noConversion"/>
  </si>
  <si>
    <t>宽泛被动指数基金</t>
    <phoneticPr fontId="1" type="noConversion"/>
  </si>
  <si>
    <t>现金</t>
    <phoneticPr fontId="1" type="noConversion"/>
  </si>
  <si>
    <t>股票</t>
    <phoneticPr fontId="1" type="noConversion"/>
  </si>
  <si>
    <t>分类别</t>
    <phoneticPr fontId="1" type="noConversion"/>
  </si>
  <si>
    <t>中国</t>
    <phoneticPr fontId="1" type="noConversion"/>
  </si>
  <si>
    <t>美国</t>
    <phoneticPr fontId="1" type="noConversion"/>
  </si>
  <si>
    <t>新兴国家</t>
    <phoneticPr fontId="1" type="noConversion"/>
  </si>
  <si>
    <t>沪深300</t>
    <phoneticPr fontId="1" type="noConversion"/>
  </si>
  <si>
    <t>上证50</t>
    <phoneticPr fontId="1" type="noConversion"/>
  </si>
  <si>
    <t>标普500</t>
    <phoneticPr fontId="1" type="noConversion"/>
  </si>
  <si>
    <t>纳斯达克100</t>
    <phoneticPr fontId="1" type="noConversion"/>
  </si>
  <si>
    <t>金额</t>
    <phoneticPr fontId="1" type="noConversion"/>
  </si>
  <si>
    <t>货币型基金</t>
    <phoneticPr fontId="1" type="noConversion"/>
  </si>
  <si>
    <t>A股优质小盘</t>
    <phoneticPr fontId="1" type="noConversion"/>
  </si>
  <si>
    <t>Reiz房地产基金</t>
    <phoneticPr fontId="1" type="noConversion"/>
  </si>
  <si>
    <t>债券基金</t>
    <phoneticPr fontId="1" type="noConversion"/>
  </si>
  <si>
    <t>防御型基金</t>
    <phoneticPr fontId="1" type="noConversion"/>
  </si>
  <si>
    <t>固定理财收益产品</t>
    <phoneticPr fontId="1" type="noConversion"/>
  </si>
  <si>
    <t>收益值</t>
    <phoneticPr fontId="1" type="noConversion"/>
  </si>
  <si>
    <t>NO</t>
    <phoneticPr fontId="1" type="noConversion"/>
  </si>
  <si>
    <t>基金名</t>
    <phoneticPr fontId="1" type="noConversion"/>
  </si>
  <si>
    <t>代码</t>
    <phoneticPr fontId="1" type="noConversion"/>
  </si>
  <si>
    <t>类型</t>
    <phoneticPr fontId="1" type="noConversion"/>
  </si>
  <si>
    <t>广发纳斯达克100指数A（QDII）</t>
    <phoneticPr fontId="1" type="noConversion"/>
  </si>
  <si>
    <t>被动指数化投资策略</t>
    <phoneticPr fontId="1" type="noConversion"/>
  </si>
  <si>
    <t>买入费率</t>
    <phoneticPr fontId="1" type="noConversion"/>
  </si>
  <si>
    <t>管理费（每年）</t>
    <phoneticPr fontId="1" type="noConversion"/>
  </si>
  <si>
    <t>托管费（每年）</t>
    <phoneticPr fontId="1" type="noConversion"/>
  </si>
  <si>
    <t>销售服务费（每年）</t>
    <phoneticPr fontId="1" type="noConversion"/>
  </si>
  <si>
    <t>工银瑞信全球精选股票（QDII）</t>
    <phoneticPr fontId="1" type="noConversion"/>
  </si>
  <si>
    <t>全球</t>
    <phoneticPr fontId="1" type="noConversion"/>
  </si>
  <si>
    <t>主动性个股优选策略</t>
    <phoneticPr fontId="1" type="noConversion"/>
  </si>
  <si>
    <t>博时标普500ETF联接（QDII）A</t>
    <phoneticPr fontId="1" type="noConversion"/>
  </si>
  <si>
    <t>投资标的</t>
    <phoneticPr fontId="1" type="noConversion"/>
  </si>
  <si>
    <t>挂钩目标ETF策略</t>
    <phoneticPr fontId="1" type="noConversion"/>
  </si>
  <si>
    <t>广发美国房地产（QDII）</t>
    <phoneticPr fontId="1" type="noConversion"/>
  </si>
  <si>
    <t>房地产</t>
    <phoneticPr fontId="1" type="noConversion"/>
  </si>
  <si>
    <t>050025</t>
    <phoneticPr fontId="1" type="noConversion"/>
  </si>
  <si>
    <t>000179</t>
    <phoneticPr fontId="1" type="noConversion"/>
  </si>
  <si>
    <t>近5年收益</t>
    <phoneticPr fontId="1" type="noConversion"/>
  </si>
  <si>
    <t>鹏华全球高收益债券（QDII）</t>
    <phoneticPr fontId="1" type="noConversion"/>
  </si>
  <si>
    <t>债券</t>
    <phoneticPr fontId="1" type="noConversion"/>
  </si>
  <si>
    <t>宏观把握</t>
    <phoneticPr fontId="1" type="noConversion"/>
  </si>
  <si>
    <t>华夏海外债券A</t>
    <phoneticPr fontId="1" type="noConversion"/>
  </si>
  <si>
    <t>001061</t>
    <phoneticPr fontId="1" type="noConversion"/>
  </si>
  <si>
    <t>000290</t>
    <phoneticPr fontId="1" type="noConversion"/>
  </si>
  <si>
    <t>海富通纯债券A</t>
    <phoneticPr fontId="1" type="noConversion"/>
  </si>
  <si>
    <t>519061</t>
    <phoneticPr fontId="1" type="noConversion"/>
  </si>
  <si>
    <t>易方达安心回报债券A</t>
    <phoneticPr fontId="1" type="noConversion"/>
  </si>
  <si>
    <t>110027</t>
    <phoneticPr fontId="1" type="noConversion"/>
  </si>
  <si>
    <t>指数</t>
    <phoneticPr fontId="1" type="noConversion"/>
  </si>
  <si>
    <t>兴全沪深300增强A</t>
    <phoneticPr fontId="1" type="noConversion"/>
  </si>
  <si>
    <t>163407</t>
    <phoneticPr fontId="1" type="noConversion"/>
  </si>
  <si>
    <t>复制指数相对增强</t>
    <phoneticPr fontId="1" type="noConversion"/>
  </si>
  <si>
    <t>易方达上证50指数A</t>
    <phoneticPr fontId="1" type="noConversion"/>
  </si>
  <si>
    <t>110003</t>
    <phoneticPr fontId="1" type="noConversion"/>
  </si>
  <si>
    <t>持有（蔡）</t>
    <phoneticPr fontId="1" type="noConversion"/>
  </si>
  <si>
    <t>持有（吴）</t>
    <phoneticPr fontId="1" type="noConversion"/>
  </si>
  <si>
    <t>广发中证100ETF联接A</t>
    <phoneticPr fontId="1" type="noConversion"/>
  </si>
  <si>
    <t>007135</t>
    <phoneticPr fontId="1" type="noConversion"/>
  </si>
  <si>
    <t>天弘上证50指数C</t>
    <phoneticPr fontId="1" type="noConversion"/>
  </si>
  <si>
    <t>001549</t>
    <phoneticPr fontId="1" type="noConversion"/>
  </si>
  <si>
    <t>天弘沪深300指数C</t>
    <phoneticPr fontId="1" type="noConversion"/>
  </si>
  <si>
    <t>005918</t>
    <phoneticPr fontId="1" type="noConversion"/>
  </si>
  <si>
    <t>景顺长城新兴成长混合</t>
    <phoneticPr fontId="1" type="noConversion"/>
  </si>
  <si>
    <t>260108</t>
    <phoneticPr fontId="1" type="noConversion"/>
  </si>
  <si>
    <t>银河沪深300价值</t>
    <phoneticPr fontId="1" type="noConversion"/>
  </si>
  <si>
    <t>519671</t>
    <phoneticPr fontId="1" type="noConversion"/>
  </si>
  <si>
    <t>交银施罗德中证海外中国互联网指数（QDII</t>
    <phoneticPr fontId="1" type="noConversion"/>
  </si>
  <si>
    <t>行业股票投资</t>
    <phoneticPr fontId="1" type="noConversion"/>
  </si>
  <si>
    <t>长期</t>
    <phoneticPr fontId="1" type="noConversion"/>
  </si>
  <si>
    <t>中期</t>
    <phoneticPr fontId="1" type="noConversion"/>
  </si>
  <si>
    <t>短期</t>
    <phoneticPr fontId="1" type="noConversion"/>
  </si>
  <si>
    <t>持股</t>
    <phoneticPr fontId="1" type="noConversion"/>
  </si>
  <si>
    <t>周线多头排列</t>
    <phoneticPr fontId="1" type="noConversion"/>
  </si>
  <si>
    <t>周线多头排列，日线接近5日线</t>
    <phoneticPr fontId="1" type="noConversion"/>
  </si>
  <si>
    <t>著名上市公司，行业龙头。基本面健康</t>
    <phoneticPr fontId="1" type="noConversion"/>
  </si>
  <si>
    <t>易方达创业板ETF联结A</t>
    <phoneticPr fontId="1" type="noConversion"/>
  </si>
  <si>
    <t>110026</t>
    <phoneticPr fontId="1" type="noConversion"/>
  </si>
  <si>
    <t>挂钩创业板ETF策略</t>
    <phoneticPr fontId="1" type="noConversion"/>
  </si>
  <si>
    <t>160140</t>
    <phoneticPr fontId="1" type="noConversion"/>
  </si>
  <si>
    <t>南方道琼斯美国精选REIT</t>
    <phoneticPr fontId="1" type="noConversion"/>
  </si>
  <si>
    <t>164906</t>
    <phoneticPr fontId="1" type="noConversion"/>
  </si>
  <si>
    <t>指数</t>
  </si>
  <si>
    <t>合计</t>
    <phoneticPr fontId="1" type="noConversion"/>
  </si>
  <si>
    <t>行标签</t>
  </si>
  <si>
    <t>房地产</t>
  </si>
  <si>
    <t>股票</t>
  </si>
  <si>
    <t>债券</t>
  </si>
  <si>
    <t>(空白)</t>
  </si>
  <si>
    <t>总计</t>
  </si>
  <si>
    <t>求和项:合计</t>
  </si>
  <si>
    <t>列标签</t>
  </si>
  <si>
    <t>美国</t>
  </si>
  <si>
    <t>全球</t>
  </si>
  <si>
    <t>中国</t>
  </si>
  <si>
    <t>易方达银行指数分级</t>
    <phoneticPr fontId="1" type="noConversion"/>
  </si>
  <si>
    <t>161121</t>
    <phoneticPr fontId="1" type="noConversion"/>
  </si>
  <si>
    <t>纳斯达克100</t>
  </si>
  <si>
    <t>纳斯达克100</t>
    <phoneticPr fontId="1" type="noConversion"/>
  </si>
  <si>
    <t>标普500</t>
  </si>
  <si>
    <t>沪深300</t>
  </si>
  <si>
    <t>中证100</t>
  </si>
  <si>
    <t>上证50</t>
  </si>
  <si>
    <t>标普500</t>
    <phoneticPr fontId="1" type="noConversion"/>
  </si>
  <si>
    <t>沪深300</t>
    <phoneticPr fontId="1" type="noConversion"/>
  </si>
  <si>
    <t>上证50</t>
    <phoneticPr fontId="1" type="noConversion"/>
  </si>
  <si>
    <t>中证100</t>
    <phoneticPr fontId="1" type="noConversion"/>
  </si>
  <si>
    <t>创业板</t>
  </si>
  <si>
    <t>创业板</t>
    <phoneticPr fontId="1" type="noConversion"/>
  </si>
  <si>
    <t>分类</t>
  </si>
  <si>
    <t>分类</t>
    <phoneticPr fontId="1" type="noConversion"/>
  </si>
  <si>
    <t>主题基金</t>
  </si>
  <si>
    <t>主题基金</t>
    <phoneticPr fontId="1" type="noConversion"/>
  </si>
  <si>
    <t>REITS</t>
  </si>
  <si>
    <t>REITS</t>
    <phoneticPr fontId="1" type="noConversion"/>
  </si>
  <si>
    <t>占比</t>
    <phoneticPr fontId="1" type="noConversion"/>
  </si>
  <si>
    <t>NO</t>
    <phoneticPr fontId="1" type="noConversion"/>
  </si>
  <si>
    <t>最新净值</t>
    <phoneticPr fontId="1" type="noConversion"/>
  </si>
  <si>
    <t>持有份数Sai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</si>
</sst>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.000_);[Red]\(0.000\)"/>
    <numFmt numFmtId="179" formatCode="0.0%"/>
    <numFmt numFmtId="180" formatCode="_ * #,##0_ ;_ * \-#,##0_ ;_ * &quot;-&quot;??_ ;_ @_ 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7"/>
      <color rgb="FF333333"/>
      <name val="Tahoma"/>
      <family val="2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quotePrefix="1"/>
    <xf numFmtId="176" fontId="0" fillId="0" borderId="0" xfId="0" applyNumberFormat="1"/>
    <xf numFmtId="177" fontId="0" fillId="0" borderId="0" xfId="0" applyNumberFormat="1"/>
    <xf numFmtId="0" fontId="2" fillId="0" borderId="0" xfId="0" applyFont="1"/>
    <xf numFmtId="0" fontId="0" fillId="0" borderId="1" xfId="0" applyBorder="1"/>
    <xf numFmtId="176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77" fontId="0" fillId="2" borderId="1" xfId="0" applyNumberFormat="1" applyFill="1" applyBorder="1"/>
    <xf numFmtId="176" fontId="0" fillId="0" borderId="1" xfId="0" applyNumberFormat="1" applyBorder="1" applyAlignment="1"/>
    <xf numFmtId="178" fontId="0" fillId="0" borderId="0" xfId="0" applyNumberFormat="1"/>
    <xf numFmtId="178" fontId="0" fillId="0" borderId="1" xfId="0" applyNumberFormat="1" applyBorder="1"/>
    <xf numFmtId="0" fontId="0" fillId="0" borderId="1" xfId="0" applyFill="1" applyBorder="1"/>
    <xf numFmtId="9" fontId="4" fillId="0" borderId="1" xfId="1" applyFont="1" applyBorder="1" applyAlignment="1">
      <alignment horizontal="center"/>
    </xf>
    <xf numFmtId="9" fontId="4" fillId="0" borderId="1" xfId="1" applyFont="1" applyBorder="1" applyAlignment="1">
      <alignment horizontal="center" vertical="center"/>
    </xf>
    <xf numFmtId="179" fontId="4" fillId="0" borderId="1" xfId="1" applyNumberFormat="1" applyFont="1" applyBorder="1" applyAlignment="1">
      <alignment horizontal="center"/>
    </xf>
    <xf numFmtId="179" fontId="4" fillId="0" borderId="1" xfId="1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pivotButton="1" applyAlignment="1">
      <alignment horizontal="center"/>
    </xf>
    <xf numFmtId="180" fontId="0" fillId="0" borderId="0" xfId="0" applyNumberFormat="1"/>
    <xf numFmtId="179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9" fontId="4" fillId="0" borderId="2" xfId="1" applyFont="1" applyBorder="1" applyAlignment="1">
      <alignment horizontal="center"/>
    </xf>
    <xf numFmtId="9" fontId="4" fillId="0" borderId="3" xfId="1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vertical="center"/>
    </xf>
    <xf numFmtId="9" fontId="4" fillId="0" borderId="1" xfId="1" applyFont="1" applyBorder="1" applyAlignment="1">
      <alignment horizontal="center" vertical="center"/>
    </xf>
    <xf numFmtId="176" fontId="0" fillId="0" borderId="1" xfId="0" applyNumberFormat="1" applyBorder="1" applyAlignment="1"/>
    <xf numFmtId="179" fontId="0" fillId="3" borderId="0" xfId="0" applyNumberFormat="1" applyFill="1" applyBorder="1" applyAlignment="1">
      <alignment horizontal="center"/>
    </xf>
    <xf numFmtId="179" fontId="0" fillId="3" borderId="4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百分比" xfId="1" builtinId="5"/>
    <cellStyle name="常规" xfId="0" builtinId="0"/>
  </cellStyles>
  <dxfs count="1">
    <dxf>
      <numFmt numFmtId="180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3801.522028009262" createdVersion="6" refreshedVersion="6" minRefreshableVersion="3" recordCount="20" xr:uid="{5F6EF043-E0A6-4A0E-BB8B-E5C3F92182C5}">
  <cacheSource type="worksheet">
    <worksheetSource ref="A1:P1048576" sheet="基金持有"/>
  </cacheSource>
  <cacheFields count="15">
    <cacheField name="NO" numFmtId="0">
      <sharedItems containsString="0" containsBlank="1" containsNumber="1" containsInteger="1" minValue="1" maxValue="19"/>
    </cacheField>
    <cacheField name="基金名" numFmtId="0">
      <sharedItems containsBlank="1"/>
    </cacheField>
    <cacheField name="代码" numFmtId="49">
      <sharedItems containsBlank="1" containsMixedTypes="1" containsNumber="1" containsInteger="1" minValue="270042" maxValue="486002"/>
    </cacheField>
    <cacheField name="投资标的" numFmtId="0">
      <sharedItems containsBlank="1" count="5">
        <s v="指数"/>
        <s v="股票"/>
        <s v="房地产"/>
        <s v="债券"/>
        <m/>
      </sharedItems>
    </cacheField>
    <cacheField name="地域" numFmtId="0">
      <sharedItems containsBlank="1" count="4">
        <s v="美国"/>
        <s v="全球"/>
        <s v="中国"/>
        <m/>
      </sharedItems>
    </cacheField>
    <cacheField name="分类" numFmtId="0">
      <sharedItems containsBlank="1" count="9">
        <s v="纳斯达克100"/>
        <s v="主题基金"/>
        <s v="标普500"/>
        <s v="REITS"/>
        <m/>
        <s v="沪深300"/>
        <s v="上证50"/>
        <s v="中证100"/>
        <s v="创业板"/>
      </sharedItems>
    </cacheField>
    <cacheField name="类型" numFmtId="0">
      <sharedItems containsBlank="1"/>
    </cacheField>
    <cacheField name="持有（蔡）" numFmtId="0">
      <sharedItems containsString="0" containsBlank="1" containsNumber="1" containsInteger="1" minValue="500" maxValue="5000"/>
    </cacheField>
    <cacheField name="持有（吴）" numFmtId="0">
      <sharedItems containsString="0" containsBlank="1" containsNumber="1" containsInteger="1" minValue="4000" maxValue="28000"/>
    </cacheField>
    <cacheField name="合计" numFmtId="0">
      <sharedItems containsString="0" containsBlank="1" containsNumber="1" containsInteger="1" minValue="0" maxValue="28000"/>
    </cacheField>
    <cacheField name="买入费率" numFmtId="0">
      <sharedItems containsString="0" containsBlank="1" containsNumber="1" minValue="0" maxValue="0.16"/>
    </cacheField>
    <cacheField name="管理费（每年）" numFmtId="0">
      <sharedItems containsString="0" containsBlank="1" containsNumber="1" minValue="0.3" maxValue="1.8"/>
    </cacheField>
    <cacheField name="托管费（每年）" numFmtId="0">
      <sharedItems containsString="0" containsBlank="1" containsNumber="1" minValue="0.1" maxValue="0.35"/>
    </cacheField>
    <cacheField name="销售服务费（每年）" numFmtId="0">
      <sharedItems containsString="0" containsBlank="1" containsNumber="1" minValue="0" maxValue="0.25"/>
    </cacheField>
    <cacheField name="近5年收益" numFmtId="0">
      <sharedItems containsString="0" containsBlank="1" containsNumber="1" minValue="0.2" maxValue="156.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广发纳斯达克100指数A（QDII）"/>
    <n v="270042"/>
    <x v="0"/>
    <x v="0"/>
    <x v="0"/>
    <s v="被动指数化投资策略"/>
    <m/>
    <n v="11300"/>
    <n v="11300"/>
    <n v="0.13"/>
    <n v="0.8"/>
    <n v="0.25"/>
    <n v="0"/>
    <n v="123.06"/>
  </r>
  <r>
    <n v="2"/>
    <s v="工银瑞信全球精选股票（QDII）"/>
    <n v="486002"/>
    <x v="1"/>
    <x v="1"/>
    <x v="1"/>
    <s v="主动性个股优选策略"/>
    <n v="4000"/>
    <m/>
    <n v="4000"/>
    <n v="0.16"/>
    <n v="1.8"/>
    <n v="0.35"/>
    <n v="0"/>
    <n v="96.07"/>
  </r>
  <r>
    <n v="3"/>
    <s v="博时标普500ETF联接（QDII）A"/>
    <s v="050025"/>
    <x v="0"/>
    <x v="0"/>
    <x v="2"/>
    <s v="挂钩目标ETF策略"/>
    <m/>
    <n v="10000"/>
    <n v="10000"/>
    <n v="0.12"/>
    <n v="0.6"/>
    <n v="0.25"/>
    <n v="0"/>
    <n v="74.03"/>
  </r>
  <r>
    <n v="4"/>
    <s v="广发美国房地产（QDII）"/>
    <s v="000179"/>
    <x v="2"/>
    <x v="0"/>
    <x v="3"/>
    <s v="被动指数化投资策略"/>
    <m/>
    <n v="28000"/>
    <n v="28000"/>
    <n v="0.13"/>
    <n v="0.8"/>
    <n v="0.3"/>
    <n v="0"/>
    <n v="50.53"/>
  </r>
  <r>
    <n v="5"/>
    <s v="鹏华全球高收益债券（QDII）"/>
    <s v="000290"/>
    <x v="3"/>
    <x v="1"/>
    <x v="4"/>
    <s v="宏观把握"/>
    <m/>
    <m/>
    <n v="0"/>
    <n v="0.08"/>
    <n v="1"/>
    <n v="0.3"/>
    <n v="0"/>
    <n v="45.32"/>
  </r>
  <r>
    <n v="6"/>
    <s v="华夏海外债券A"/>
    <s v="001061"/>
    <x v="3"/>
    <x v="1"/>
    <x v="4"/>
    <s v="宏观把握"/>
    <n v="5000"/>
    <m/>
    <n v="5000"/>
    <n v="0.08"/>
    <n v="0.75"/>
    <n v="0.22"/>
    <n v="0"/>
    <n v="42.56"/>
  </r>
  <r>
    <n v="7"/>
    <s v="海富通纯债券A"/>
    <s v="519061"/>
    <x v="3"/>
    <x v="2"/>
    <x v="4"/>
    <s v="宏观把握"/>
    <m/>
    <n v="8400"/>
    <n v="8400"/>
    <n v="0.08"/>
    <n v="0.3"/>
    <n v="0.2"/>
    <n v="0"/>
    <n v="136.28"/>
  </r>
  <r>
    <n v="8"/>
    <s v="易方达安心回报债券A"/>
    <s v="110027"/>
    <x v="3"/>
    <x v="2"/>
    <x v="4"/>
    <s v="宏观把握"/>
    <m/>
    <m/>
    <n v="0"/>
    <n v="0.08"/>
    <n v="0.7"/>
    <n v="0.2"/>
    <n v="0"/>
    <n v="126.61"/>
  </r>
  <r>
    <n v="9"/>
    <s v="兴全沪深300增强A"/>
    <s v="163407"/>
    <x v="0"/>
    <x v="2"/>
    <x v="5"/>
    <s v="复制指数相对增强"/>
    <m/>
    <n v="11000"/>
    <n v="11000"/>
    <n v="0.12"/>
    <n v="0.8"/>
    <n v="0.15"/>
    <n v="0"/>
    <n v="128.09"/>
  </r>
  <r>
    <n v="10"/>
    <s v="易方达上证50指数A"/>
    <s v="110003"/>
    <x v="0"/>
    <x v="2"/>
    <x v="6"/>
    <s v="复制指数相对增强"/>
    <n v="1500"/>
    <n v="22500"/>
    <n v="24000"/>
    <n v="0.15"/>
    <n v="1.2"/>
    <n v="0.2"/>
    <n v="0"/>
    <n v="156.03"/>
  </r>
  <r>
    <n v="11"/>
    <s v="广发中证100ETF联接A"/>
    <s v="007135"/>
    <x v="0"/>
    <x v="2"/>
    <x v="7"/>
    <s v="挂钩目标ETF策略"/>
    <n v="4500"/>
    <m/>
    <n v="4500"/>
    <n v="0.12"/>
    <n v="0.5"/>
    <n v="0.1"/>
    <m/>
    <m/>
  </r>
  <r>
    <n v="12"/>
    <s v="天弘上证50指数C"/>
    <s v="001549"/>
    <x v="0"/>
    <x v="2"/>
    <x v="6"/>
    <s v="被动指数化投资策略"/>
    <n v="2000"/>
    <m/>
    <n v="2000"/>
    <n v="0"/>
    <n v="0.5"/>
    <n v="0.1"/>
    <n v="0.25"/>
    <m/>
  </r>
  <r>
    <n v="13"/>
    <s v="天弘沪深300指数C"/>
    <s v="005918"/>
    <x v="0"/>
    <x v="2"/>
    <x v="5"/>
    <s v="被动指数化投资策略"/>
    <m/>
    <m/>
    <n v="0"/>
    <n v="0"/>
    <n v="0.5"/>
    <n v="0.1"/>
    <n v="0.25"/>
    <m/>
  </r>
  <r>
    <n v="14"/>
    <s v="景顺长城新兴成长混合"/>
    <s v="260108"/>
    <x v="1"/>
    <x v="2"/>
    <x v="1"/>
    <s v="宏观把握"/>
    <m/>
    <n v="8500"/>
    <n v="8500"/>
    <n v="0.15"/>
    <n v="1.5"/>
    <n v="0.25"/>
    <n v="0"/>
    <n v="90"/>
  </r>
  <r>
    <n v="15"/>
    <s v="银河沪深300价值"/>
    <s v="519671"/>
    <x v="0"/>
    <x v="2"/>
    <x v="5"/>
    <s v="被动指数化投资策略"/>
    <m/>
    <n v="6400"/>
    <n v="6400"/>
    <n v="0.12"/>
    <n v="0.5"/>
    <n v="0.15"/>
    <n v="0"/>
    <m/>
  </r>
  <r>
    <n v="16"/>
    <s v="交银施罗德中证海外中国互联网指数（QDII"/>
    <s v="164906"/>
    <x v="1"/>
    <x v="0"/>
    <x v="1"/>
    <s v="行业股票投资"/>
    <m/>
    <n v="19000"/>
    <n v="19000"/>
    <n v="0.12"/>
    <n v="1.2"/>
    <n v="0.25"/>
    <n v="0"/>
    <m/>
  </r>
  <r>
    <n v="17"/>
    <s v="易方达创业板ETF联结A"/>
    <s v="110026"/>
    <x v="0"/>
    <x v="2"/>
    <x v="8"/>
    <s v="挂钩创业板ETF策略"/>
    <m/>
    <n v="4000"/>
    <n v="4000"/>
    <n v="0.12"/>
    <n v="0.5"/>
    <n v="0.1"/>
    <n v="0"/>
    <m/>
  </r>
  <r>
    <n v="18"/>
    <s v="南方道琼斯美国精选REIT"/>
    <s v="160140"/>
    <x v="2"/>
    <x v="0"/>
    <x v="3"/>
    <s v="被动指数化投资策略"/>
    <n v="1000"/>
    <m/>
    <n v="1000"/>
    <n v="0.12"/>
    <n v="0.8"/>
    <n v="0.25"/>
    <n v="0"/>
    <n v="0.2"/>
  </r>
  <r>
    <n v="19"/>
    <s v="易方达银行指数分级"/>
    <s v="161121"/>
    <x v="1"/>
    <x v="2"/>
    <x v="1"/>
    <s v="行业股票投资"/>
    <n v="500"/>
    <m/>
    <n v="500"/>
    <n v="0.1"/>
    <n v="1"/>
    <n v="0.22"/>
    <m/>
    <n v="0.34"/>
  </r>
  <r>
    <m/>
    <m/>
    <m/>
    <x v="4"/>
    <x v="3"/>
    <x v="4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3AA5A-C8ED-4DF8-A158-5DB2D97D68E9}" name="数据透视表1" cacheId="2" applyNumberFormats="0" applyBorderFormats="0" applyFontFormats="0" applyPatternFormats="0" applyAlignmentFormats="0" applyWidthHeightFormats="1" dataCaption="值" updatedVersion="6" minRefreshableVersion="3" useAutoFormatting="1" itemPrintTitles="1" mergeItem="1" createdVersion="6" indent="0" outline="1" outlineData="1" multipleFieldFilters="0">
  <location ref="A3:G15" firstHeaderRow="1" firstDataRow="2" firstDataCol="2"/>
  <pivotFields count="15">
    <pivotField showAll="0"/>
    <pivotField showAll="0"/>
    <pivotField showAll="0"/>
    <pivotField axis="axisRow" outline="0" showAll="0" defaultSubtotal="0">
      <items count="5">
        <item x="2"/>
        <item x="1"/>
        <item x="3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0"/>
        <item x="1"/>
        <item x="2"/>
        <item x="3"/>
        <item t="default"/>
      </items>
    </pivotField>
    <pivotField axis="axisRow" outline="0" showAll="0" defaultSubtotal="0">
      <items count="9">
        <item x="3"/>
        <item x="2"/>
        <item x="8"/>
        <item x="5"/>
        <item x="0"/>
        <item x="6"/>
        <item x="7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2">
    <field x="3"/>
    <field x="5"/>
  </rowFields>
  <rowItems count="11">
    <i>
      <x/>
      <x/>
    </i>
    <i>
      <x v="1"/>
      <x v="7"/>
    </i>
    <i>
      <x v="2"/>
      <x v="8"/>
    </i>
    <i>
      <x v="3"/>
      <x v="1"/>
    </i>
    <i r="1">
      <x v="2"/>
    </i>
    <i r="1">
      <x v="3"/>
    </i>
    <i r="1">
      <x v="4"/>
    </i>
    <i r="1">
      <x v="5"/>
    </i>
    <i r="1">
      <x v="6"/>
    </i>
    <i>
      <x v="4"/>
      <x v="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合计" fld="9" baseField="3" baseItem="0" numFmtId="18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workbookViewId="0">
      <selection activeCell="F8" sqref="F8"/>
    </sheetView>
  </sheetViews>
  <sheetFormatPr defaultRowHeight="13.9" x14ac:dyDescent="0.4"/>
  <cols>
    <col min="1" max="1" width="3.59765625" bestFit="1" customWidth="1"/>
    <col min="5" max="5" width="10.796875" bestFit="1" customWidth="1"/>
    <col min="6" max="6" width="25.1328125" customWidth="1"/>
  </cols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6" x14ac:dyDescent="0.4">
      <c r="A2">
        <v>1</v>
      </c>
      <c r="B2" t="s">
        <v>5</v>
      </c>
      <c r="D2" t="s">
        <v>6</v>
      </c>
      <c r="E2" t="s">
        <v>7</v>
      </c>
    </row>
    <row r="3" spans="1:6" x14ac:dyDescent="0.4">
      <c r="A3">
        <v>2</v>
      </c>
      <c r="B3" t="s">
        <v>8</v>
      </c>
      <c r="C3" s="1" t="s">
        <v>11</v>
      </c>
      <c r="D3" t="s">
        <v>9</v>
      </c>
      <c r="E3" t="s">
        <v>10</v>
      </c>
    </row>
    <row r="4" spans="1:6" x14ac:dyDescent="0.4">
      <c r="A4">
        <v>3</v>
      </c>
      <c r="B4" t="s">
        <v>12</v>
      </c>
    </row>
    <row r="5" spans="1:6" x14ac:dyDescent="0.4">
      <c r="B5" t="s">
        <v>13</v>
      </c>
    </row>
    <row r="6" spans="1:6" x14ac:dyDescent="0.4">
      <c r="B6" t="s">
        <v>14</v>
      </c>
      <c r="C6">
        <v>300072</v>
      </c>
      <c r="F6" t="s">
        <v>15</v>
      </c>
    </row>
    <row r="7" spans="1:6" x14ac:dyDescent="0.4">
      <c r="B7" t="s">
        <v>16</v>
      </c>
      <c r="F7" t="s">
        <v>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AB6EC-3C75-42B3-AB48-858A46AAEC17}">
  <sheetPr codeName="Sheet2"/>
  <dimension ref="A1:E7"/>
  <sheetViews>
    <sheetView workbookViewId="0">
      <selection activeCell="E7" sqref="E7"/>
    </sheetView>
  </sheetViews>
  <sheetFormatPr defaultRowHeight="13.9" x14ac:dyDescent="0.4"/>
  <cols>
    <col min="1" max="1" width="3.59765625" bestFit="1" customWidth="1"/>
    <col min="3" max="3" width="10.796875" bestFit="1" customWidth="1"/>
    <col min="5" max="5" width="19.796875" customWidth="1"/>
  </cols>
  <sheetData>
    <row r="1" spans="1:5" x14ac:dyDescent="0.4">
      <c r="A1" t="s">
        <v>25</v>
      </c>
      <c r="B1" t="s">
        <v>26</v>
      </c>
      <c r="C1" t="s">
        <v>27</v>
      </c>
    </row>
    <row r="2" spans="1:5" x14ac:dyDescent="0.4">
      <c r="A2">
        <v>1</v>
      </c>
      <c r="B2" t="s">
        <v>106</v>
      </c>
      <c r="C2" t="s">
        <v>112</v>
      </c>
    </row>
    <row r="3" spans="1:5" x14ac:dyDescent="0.4">
      <c r="A3">
        <v>2</v>
      </c>
      <c r="B3" t="s">
        <v>107</v>
      </c>
      <c r="C3" t="s">
        <v>110</v>
      </c>
    </row>
    <row r="4" spans="1:5" x14ac:dyDescent="0.4">
      <c r="A4">
        <v>3</v>
      </c>
      <c r="B4" t="s">
        <v>108</v>
      </c>
      <c r="C4" t="s">
        <v>111</v>
      </c>
    </row>
    <row r="5" spans="1:5" x14ac:dyDescent="0.4">
      <c r="A5">
        <v>4</v>
      </c>
      <c r="B5" t="s">
        <v>109</v>
      </c>
    </row>
    <row r="7" spans="1:5" x14ac:dyDescent="0.4">
      <c r="C7">
        <v>3546600</v>
      </c>
      <c r="D7">
        <v>45</v>
      </c>
      <c r="E7">
        <f>C7*D7</f>
        <v>159597000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4C48-32DB-4FC3-8F80-7925A565084B}">
  <sheetPr codeName="Sheet3"/>
  <dimension ref="A1:J15"/>
  <sheetViews>
    <sheetView workbookViewId="0">
      <selection activeCell="J3" sqref="J3"/>
    </sheetView>
  </sheetViews>
  <sheetFormatPr defaultRowHeight="13.9" x14ac:dyDescent="0.4"/>
  <cols>
    <col min="1" max="1" width="3.59765625" customWidth="1"/>
    <col min="2" max="2" width="16.9296875" bestFit="1" customWidth="1"/>
    <col min="3" max="3" width="10.796875" customWidth="1"/>
    <col min="4" max="5" width="12.53125" style="2" customWidth="1"/>
    <col min="6" max="6" width="16.9296875" style="2" bestFit="1" customWidth="1"/>
    <col min="7" max="8" width="12.53125" style="2" customWidth="1"/>
    <col min="9" max="9" width="13.73046875" style="3" customWidth="1"/>
    <col min="10" max="10" width="9.06640625" style="2"/>
    <col min="11" max="11" width="10" bestFit="1" customWidth="1"/>
  </cols>
  <sheetData>
    <row r="1" spans="1:10" x14ac:dyDescent="0.4">
      <c r="C1" t="s">
        <v>32</v>
      </c>
      <c r="D1" s="2">
        <v>420</v>
      </c>
      <c r="I1" s="3" t="s">
        <v>34</v>
      </c>
    </row>
    <row r="2" spans="1:10" x14ac:dyDescent="0.4">
      <c r="A2" s="7" t="s">
        <v>29</v>
      </c>
      <c r="B2" s="7" t="s">
        <v>30</v>
      </c>
      <c r="C2" s="8" t="s">
        <v>31</v>
      </c>
      <c r="D2" s="8" t="s">
        <v>39</v>
      </c>
      <c r="E2" s="8"/>
      <c r="F2" s="8"/>
      <c r="G2" s="8"/>
      <c r="H2" s="8" t="s">
        <v>47</v>
      </c>
      <c r="I2" s="9" t="s">
        <v>33</v>
      </c>
      <c r="J2" s="8" t="s">
        <v>54</v>
      </c>
    </row>
    <row r="3" spans="1:10" x14ac:dyDescent="0.4">
      <c r="A3" s="5">
        <v>1</v>
      </c>
      <c r="B3" s="31" t="s">
        <v>36</v>
      </c>
      <c r="C3" s="33">
        <v>0.5</v>
      </c>
      <c r="D3" s="32" t="s">
        <v>40</v>
      </c>
      <c r="E3" s="33">
        <v>0.25</v>
      </c>
      <c r="F3" s="6" t="s">
        <v>43</v>
      </c>
      <c r="G3" s="12">
        <v>0.125</v>
      </c>
      <c r="H3" s="12">
        <f t="shared" ref="H3:H13" si="0">G3*$D$1</f>
        <v>52.5</v>
      </c>
      <c r="I3" s="12">
        <v>0.1</v>
      </c>
      <c r="J3" s="12">
        <f>H3*I3</f>
        <v>5.25</v>
      </c>
    </row>
    <row r="4" spans="1:10" x14ac:dyDescent="0.4">
      <c r="A4" s="5"/>
      <c r="B4" s="31"/>
      <c r="C4" s="33"/>
      <c r="D4" s="32"/>
      <c r="E4" s="33"/>
      <c r="F4" s="6" t="s">
        <v>44</v>
      </c>
      <c r="G4" s="12">
        <v>0.125</v>
      </c>
      <c r="H4" s="12">
        <f t="shared" si="0"/>
        <v>52.5</v>
      </c>
      <c r="I4" s="12">
        <v>0.1</v>
      </c>
      <c r="J4" s="12">
        <f t="shared" ref="J4:J13" si="1">H4*I4</f>
        <v>5.25</v>
      </c>
    </row>
    <row r="5" spans="1:10" x14ac:dyDescent="0.4">
      <c r="A5" s="5"/>
      <c r="B5" s="31"/>
      <c r="C5" s="33"/>
      <c r="D5" s="34" t="s">
        <v>41</v>
      </c>
      <c r="E5" s="33">
        <v>0.25</v>
      </c>
      <c r="F5" s="6" t="s">
        <v>45</v>
      </c>
      <c r="G5" s="12">
        <v>0.125</v>
      </c>
      <c r="H5" s="12">
        <f t="shared" si="0"/>
        <v>52.5</v>
      </c>
      <c r="I5" s="12">
        <v>0.1</v>
      </c>
      <c r="J5" s="12">
        <f t="shared" si="1"/>
        <v>5.25</v>
      </c>
    </row>
    <row r="6" spans="1:10" x14ac:dyDescent="0.4">
      <c r="A6" s="5"/>
      <c r="B6" s="31"/>
      <c r="C6" s="33"/>
      <c r="D6" s="34"/>
      <c r="E6" s="33"/>
      <c r="F6" s="6" t="s">
        <v>46</v>
      </c>
      <c r="G6" s="12">
        <v>0.125</v>
      </c>
      <c r="H6" s="12">
        <f t="shared" si="0"/>
        <v>52.5</v>
      </c>
      <c r="I6" s="12">
        <v>0.1</v>
      </c>
      <c r="J6" s="12">
        <f t="shared" si="1"/>
        <v>5.25</v>
      </c>
    </row>
    <row r="7" spans="1:10" x14ac:dyDescent="0.4">
      <c r="A7" s="5"/>
      <c r="B7" s="31"/>
      <c r="C7" s="33"/>
      <c r="D7" s="10" t="s">
        <v>42</v>
      </c>
      <c r="E7" s="15"/>
      <c r="F7" s="6"/>
      <c r="G7" s="12"/>
      <c r="H7" s="12">
        <f t="shared" si="0"/>
        <v>0</v>
      </c>
      <c r="I7" s="12">
        <v>0.1</v>
      </c>
      <c r="J7" s="12">
        <f t="shared" si="1"/>
        <v>0</v>
      </c>
    </row>
    <row r="8" spans="1:10" x14ac:dyDescent="0.4">
      <c r="A8" s="13">
        <v>6</v>
      </c>
      <c r="B8" s="13" t="s">
        <v>38</v>
      </c>
      <c r="C8" s="16">
        <v>2.5000000000000001E-2</v>
      </c>
      <c r="D8" s="6" t="s">
        <v>40</v>
      </c>
      <c r="E8" s="17">
        <v>2.5000000000000001E-2</v>
      </c>
      <c r="F8" s="6" t="s">
        <v>49</v>
      </c>
      <c r="G8" s="12">
        <v>2.5000000000000001E-2</v>
      </c>
      <c r="H8" s="12">
        <f>G8*$D$1</f>
        <v>10.5</v>
      </c>
      <c r="I8" s="12">
        <v>0.1</v>
      </c>
      <c r="J8" s="12">
        <f>H8*I8</f>
        <v>1.05</v>
      </c>
    </row>
    <row r="9" spans="1:10" x14ac:dyDescent="0.4">
      <c r="A9" s="5">
        <v>2</v>
      </c>
      <c r="B9" s="27" t="s">
        <v>52</v>
      </c>
      <c r="C9" s="29">
        <v>0.3</v>
      </c>
      <c r="D9" s="6"/>
      <c r="E9" s="15">
        <v>0.2</v>
      </c>
      <c r="F9" s="6" t="s">
        <v>51</v>
      </c>
      <c r="G9" s="12">
        <v>0.2</v>
      </c>
      <c r="H9" s="12">
        <f t="shared" si="0"/>
        <v>84</v>
      </c>
      <c r="I9" s="12">
        <v>7.0000000000000007E-2</v>
      </c>
      <c r="J9" s="12">
        <f t="shared" si="1"/>
        <v>5.8800000000000008</v>
      </c>
    </row>
    <row r="10" spans="1:10" x14ac:dyDescent="0.4">
      <c r="A10" s="5"/>
      <c r="B10" s="28"/>
      <c r="C10" s="30"/>
      <c r="D10" s="6"/>
      <c r="E10" s="17">
        <v>0.125</v>
      </c>
      <c r="F10" s="6" t="s">
        <v>50</v>
      </c>
      <c r="G10" s="12">
        <v>0.125</v>
      </c>
      <c r="H10" s="12">
        <f t="shared" si="0"/>
        <v>52.5</v>
      </c>
      <c r="I10" s="12">
        <v>0.1</v>
      </c>
      <c r="J10" s="12">
        <f t="shared" si="1"/>
        <v>5.25</v>
      </c>
    </row>
    <row r="11" spans="1:10" x14ac:dyDescent="0.4">
      <c r="A11" s="5">
        <v>3</v>
      </c>
      <c r="B11" s="5" t="s">
        <v>28</v>
      </c>
      <c r="C11" s="14">
        <v>0</v>
      </c>
      <c r="D11" s="6"/>
      <c r="E11" s="15"/>
      <c r="F11" s="6"/>
      <c r="G11" s="12">
        <v>0</v>
      </c>
      <c r="H11" s="12">
        <f t="shared" si="0"/>
        <v>0</v>
      </c>
      <c r="I11" s="12">
        <v>0.1</v>
      </c>
      <c r="J11" s="12">
        <f t="shared" si="1"/>
        <v>0</v>
      </c>
    </row>
    <row r="12" spans="1:10" x14ac:dyDescent="0.4">
      <c r="A12" s="5">
        <v>4</v>
      </c>
      <c r="B12" s="5" t="s">
        <v>35</v>
      </c>
      <c r="C12" s="14">
        <v>0.1</v>
      </c>
      <c r="D12" s="6"/>
      <c r="E12" s="15"/>
      <c r="F12" s="6" t="s">
        <v>53</v>
      </c>
      <c r="G12" s="12">
        <v>0.1</v>
      </c>
      <c r="H12" s="12">
        <f t="shared" si="0"/>
        <v>42</v>
      </c>
      <c r="I12" s="12">
        <v>4.4999999999999998E-2</v>
      </c>
      <c r="J12" s="12">
        <f t="shared" si="1"/>
        <v>1.89</v>
      </c>
    </row>
    <row r="13" spans="1:10" x14ac:dyDescent="0.4">
      <c r="A13" s="5">
        <v>5</v>
      </c>
      <c r="B13" s="5" t="s">
        <v>37</v>
      </c>
      <c r="C13" s="14">
        <v>0.05</v>
      </c>
      <c r="D13" s="6" t="s">
        <v>40</v>
      </c>
      <c r="E13" s="15">
        <v>0.05</v>
      </c>
      <c r="F13" s="6" t="s">
        <v>48</v>
      </c>
      <c r="G13" s="12">
        <v>0.05</v>
      </c>
      <c r="H13" s="12">
        <f t="shared" si="0"/>
        <v>21</v>
      </c>
      <c r="I13" s="12">
        <v>2.4500000000000001E-2</v>
      </c>
      <c r="J13" s="12">
        <f t="shared" si="1"/>
        <v>0.51450000000000007</v>
      </c>
    </row>
    <row r="14" spans="1:10" x14ac:dyDescent="0.4">
      <c r="J14" s="11">
        <f>SUM(J3:J13)</f>
        <v>35.584499999999998</v>
      </c>
    </row>
    <row r="15" spans="1:10" x14ac:dyDescent="0.4">
      <c r="J15">
        <f>J14/12</f>
        <v>2.9653749999999999</v>
      </c>
    </row>
  </sheetData>
  <mergeCells count="8">
    <mergeCell ref="B9:B10"/>
    <mergeCell ref="C9:C10"/>
    <mergeCell ref="B3:B7"/>
    <mergeCell ref="D3:D4"/>
    <mergeCell ref="E3:E4"/>
    <mergeCell ref="D5:D6"/>
    <mergeCell ref="E5:E6"/>
    <mergeCell ref="C3:C7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E150-3665-4E69-8329-2742ACCDDEE6}">
  <sheetPr codeName="Sheet4"/>
  <dimension ref="A3:H20"/>
  <sheetViews>
    <sheetView workbookViewId="0">
      <selection activeCell="C22" sqref="C22"/>
    </sheetView>
  </sheetViews>
  <sheetFormatPr defaultRowHeight="13.9" x14ac:dyDescent="0.4"/>
  <cols>
    <col min="1" max="1" width="11.265625" bestFit="1" customWidth="1"/>
    <col min="2" max="2" width="11.9296875" bestFit="1" customWidth="1"/>
    <col min="3" max="3" width="11.265625" bestFit="1" customWidth="1"/>
    <col min="4" max="4" width="6.86328125" bestFit="1" customWidth="1"/>
    <col min="5" max="5" width="7.9296875" bestFit="1" customWidth="1"/>
    <col min="6" max="6" width="6.265625" hidden="1" customWidth="1"/>
    <col min="7" max="7" width="9" style="20" bestFit="1" customWidth="1"/>
    <col min="8" max="8" width="6.86328125" style="23" customWidth="1"/>
    <col min="9" max="9" width="7.46484375" bestFit="1" customWidth="1"/>
    <col min="10" max="10" width="7.06640625" bestFit="1" customWidth="1"/>
    <col min="11" max="11" width="9.73046875" bestFit="1" customWidth="1"/>
    <col min="12" max="12" width="7.06640625" bestFit="1" customWidth="1"/>
    <col min="13" max="13" width="9.73046875" bestFit="1" customWidth="1"/>
    <col min="14" max="14" width="8" bestFit="1" customWidth="1"/>
    <col min="15" max="17" width="5.33203125" bestFit="1" customWidth="1"/>
    <col min="18" max="22" width="6.3984375" bestFit="1" customWidth="1"/>
    <col min="23" max="23" width="6.265625" bestFit="1" customWidth="1"/>
    <col min="24" max="24" width="10.73046875" bestFit="1" customWidth="1"/>
    <col min="25" max="25" width="7.46484375" bestFit="1" customWidth="1"/>
  </cols>
  <sheetData>
    <row r="3" spans="1:8" x14ac:dyDescent="0.4">
      <c r="A3" s="21" t="s">
        <v>127</v>
      </c>
      <c r="B3" s="25"/>
      <c r="C3" s="21" t="s">
        <v>128</v>
      </c>
      <c r="D3" s="25"/>
      <c r="E3" s="25"/>
      <c r="F3" s="25"/>
      <c r="G3" s="25"/>
      <c r="H3" s="35" t="s">
        <v>152</v>
      </c>
    </row>
    <row r="4" spans="1:8" x14ac:dyDescent="0.4">
      <c r="A4" s="21" t="s">
        <v>121</v>
      </c>
      <c r="B4" s="21" t="s">
        <v>146</v>
      </c>
      <c r="C4" s="24" t="s">
        <v>129</v>
      </c>
      <c r="D4" s="24" t="s">
        <v>130</v>
      </c>
      <c r="E4" s="24" t="s">
        <v>131</v>
      </c>
      <c r="F4" s="24" t="s">
        <v>125</v>
      </c>
      <c r="G4" s="24" t="s">
        <v>126</v>
      </c>
      <c r="H4" s="36"/>
    </row>
    <row r="5" spans="1:8" x14ac:dyDescent="0.4">
      <c r="A5" s="24" t="s">
        <v>122</v>
      </c>
      <c r="B5" s="24" t="s">
        <v>150</v>
      </c>
      <c r="C5" s="22">
        <v>29000</v>
      </c>
      <c r="D5" s="22"/>
      <c r="E5" s="22"/>
      <c r="F5" s="22"/>
      <c r="G5" s="22">
        <v>29000</v>
      </c>
      <c r="H5" s="23">
        <f>GETPIVOTDATA("合计",$A$3,"投资标的","房地产","分类","REITS")/GETPIVOTDATA("合计",$A$3)</f>
        <v>0.19647696476964768</v>
      </c>
    </row>
    <row r="6" spans="1:8" x14ac:dyDescent="0.4">
      <c r="A6" s="24" t="s">
        <v>123</v>
      </c>
      <c r="B6" s="24" t="s">
        <v>148</v>
      </c>
      <c r="C6" s="22">
        <v>19000</v>
      </c>
      <c r="D6" s="22">
        <v>4000</v>
      </c>
      <c r="E6" s="22">
        <v>9000</v>
      </c>
      <c r="F6" s="22"/>
      <c r="G6" s="22">
        <v>32000</v>
      </c>
      <c r="H6" s="23">
        <f>GETPIVOTDATA("合计",$A$3,"投资标的","股票","分类","主题基金")/GETPIVOTDATA("合计",$A$3)</f>
        <v>0.21680216802168023</v>
      </c>
    </row>
    <row r="7" spans="1:8" x14ac:dyDescent="0.4">
      <c r="A7" s="24" t="s">
        <v>124</v>
      </c>
      <c r="B7" s="24" t="s">
        <v>125</v>
      </c>
      <c r="C7" s="22"/>
      <c r="D7" s="22">
        <v>5000</v>
      </c>
      <c r="E7" s="22">
        <v>8400</v>
      </c>
      <c r="F7" s="22"/>
      <c r="G7" s="22">
        <v>13400</v>
      </c>
      <c r="H7" s="23">
        <f>GETPIVOTDATA("合计",$A$3,"投资标的","债券","分类",)/GETPIVOTDATA("合计",$A$3)</f>
        <v>9.0785907859078585E-2</v>
      </c>
    </row>
    <row r="8" spans="1:8" x14ac:dyDescent="0.4">
      <c r="A8" s="37" t="s">
        <v>119</v>
      </c>
      <c r="B8" s="24" t="s">
        <v>136</v>
      </c>
      <c r="C8" s="22">
        <v>10000</v>
      </c>
      <c r="D8" s="22"/>
      <c r="E8" s="22"/>
      <c r="F8" s="22"/>
      <c r="G8" s="22">
        <v>10000</v>
      </c>
      <c r="H8" s="23">
        <f>GETPIVOTDATA("合计",$A$3,"投资标的","指数","分类","标普500")/GETPIVOTDATA("合计",$A$3)</f>
        <v>6.7750677506775062E-2</v>
      </c>
    </row>
    <row r="9" spans="1:8" x14ac:dyDescent="0.4">
      <c r="A9" s="38" t="s">
        <v>119</v>
      </c>
      <c r="B9" s="24" t="s">
        <v>144</v>
      </c>
      <c r="C9" s="22"/>
      <c r="D9" s="22"/>
      <c r="E9" s="22">
        <v>4000</v>
      </c>
      <c r="F9" s="22"/>
      <c r="G9" s="22">
        <v>4000</v>
      </c>
      <c r="H9" s="23">
        <f>GETPIVOTDATA("合计",$A$3,"投资标的","指数","分类","创业板")/GETPIVOTDATA("合计",$A$3)</f>
        <v>2.7100271002710029E-2</v>
      </c>
    </row>
    <row r="10" spans="1:8" x14ac:dyDescent="0.4">
      <c r="A10" s="38" t="s">
        <v>119</v>
      </c>
      <c r="B10" s="24" t="s">
        <v>137</v>
      </c>
      <c r="C10" s="22"/>
      <c r="D10" s="22"/>
      <c r="E10" s="22">
        <v>17400</v>
      </c>
      <c r="F10" s="22"/>
      <c r="G10" s="22">
        <v>17400</v>
      </c>
      <c r="H10" s="23">
        <f>GETPIVOTDATA("合计",$A$3,"投资标的","指数","分类","沪深300")/GETPIVOTDATA("合计",$A$3)</f>
        <v>0.11788617886178862</v>
      </c>
    </row>
    <row r="11" spans="1:8" x14ac:dyDescent="0.4">
      <c r="A11" s="38" t="s">
        <v>119</v>
      </c>
      <c r="B11" s="24" t="s">
        <v>134</v>
      </c>
      <c r="C11" s="22">
        <v>11300</v>
      </c>
      <c r="D11" s="22"/>
      <c r="E11" s="22"/>
      <c r="F11" s="22"/>
      <c r="G11" s="22">
        <v>11300</v>
      </c>
      <c r="H11" s="23">
        <f>GETPIVOTDATA("合计",$A$3,"投资标的","指数","分类","纳斯达克100")/GETPIVOTDATA("合计",$A$3)</f>
        <v>7.6558265582655827E-2</v>
      </c>
    </row>
    <row r="12" spans="1:8" x14ac:dyDescent="0.4">
      <c r="A12" s="38" t="s">
        <v>119</v>
      </c>
      <c r="B12" s="24" t="s">
        <v>139</v>
      </c>
      <c r="C12" s="22"/>
      <c r="D12" s="22"/>
      <c r="E12" s="22">
        <v>26000</v>
      </c>
      <c r="F12" s="22"/>
      <c r="G12" s="22">
        <v>26000</v>
      </c>
      <c r="H12" s="23">
        <f>GETPIVOTDATA("合计",$A$3,"投资标的","指数","分类","上证50")/GETPIVOTDATA("合计",$A$3)</f>
        <v>0.17615176151761516</v>
      </c>
    </row>
    <row r="13" spans="1:8" x14ac:dyDescent="0.4">
      <c r="A13" s="38" t="s">
        <v>119</v>
      </c>
      <c r="B13" s="24" t="s">
        <v>138</v>
      </c>
      <c r="C13" s="22"/>
      <c r="D13" s="22"/>
      <c r="E13" s="22">
        <v>4500</v>
      </c>
      <c r="F13" s="22"/>
      <c r="G13" s="22">
        <v>4500</v>
      </c>
      <c r="H13" s="23">
        <f>GETPIVOTDATA("合计",$A$3,"投资标的","指数","分类","中证100")/GETPIVOTDATA("合计",$A$3)</f>
        <v>3.048780487804878E-2</v>
      </c>
    </row>
    <row r="14" spans="1:8" hidden="1" x14ac:dyDescent="0.4">
      <c r="A14" s="24" t="s">
        <v>125</v>
      </c>
      <c r="B14" s="24" t="s">
        <v>125</v>
      </c>
      <c r="C14" s="22"/>
      <c r="D14" s="22"/>
      <c r="E14" s="22"/>
      <c r="F14" s="22"/>
      <c r="G14" s="22"/>
    </row>
    <row r="15" spans="1:8" x14ac:dyDescent="0.4">
      <c r="A15" s="37" t="s">
        <v>126</v>
      </c>
      <c r="B15" s="38"/>
      <c r="C15" s="22">
        <v>69300</v>
      </c>
      <c r="D15" s="22">
        <v>9000</v>
      </c>
      <c r="E15" s="22">
        <v>69300</v>
      </c>
      <c r="F15" s="22"/>
      <c r="G15" s="22">
        <v>147600</v>
      </c>
    </row>
    <row r="16" spans="1:8" x14ac:dyDescent="0.4">
      <c r="G16"/>
    </row>
    <row r="17" spans="7:7" x14ac:dyDescent="0.4">
      <c r="G17"/>
    </row>
    <row r="18" spans="7:7" x14ac:dyDescent="0.4">
      <c r="G18"/>
    </row>
    <row r="19" spans="7:7" x14ac:dyDescent="0.4">
      <c r="G19"/>
    </row>
    <row r="20" spans="7:7" x14ac:dyDescent="0.4">
      <c r="G20"/>
    </row>
  </sheetData>
  <mergeCells count="3">
    <mergeCell ref="H3:H4"/>
    <mergeCell ref="A8:A13"/>
    <mergeCell ref="A15:B15"/>
  </mergeCells>
  <phoneticPr fontId="1" type="noConversion"/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CD28-E18C-4EBD-AD09-49D19071D688}">
  <sheetPr codeName="Sheet7"/>
  <dimension ref="A1:C20"/>
  <sheetViews>
    <sheetView workbookViewId="0">
      <selection activeCell="E17" sqref="E17"/>
    </sheetView>
  </sheetViews>
  <sheetFormatPr defaultRowHeight="13.9" x14ac:dyDescent="0.4"/>
  <cols>
    <col min="1" max="1" width="3.9296875" bestFit="1" customWidth="1"/>
    <col min="2" max="2" width="9.06640625" style="18"/>
  </cols>
  <sheetData>
    <row r="1" spans="1:3" x14ac:dyDescent="0.4">
      <c r="A1" s="26" t="s">
        <v>153</v>
      </c>
      <c r="B1" s="18" t="s">
        <v>57</v>
      </c>
      <c r="C1" t="s">
        <v>154</v>
      </c>
    </row>
    <row r="2" spans="1:3" x14ac:dyDescent="0.4">
      <c r="A2">
        <v>1</v>
      </c>
      <c r="B2" s="18">
        <v>270042</v>
      </c>
      <c r="C2" s="26">
        <v>2.6793999999999998</v>
      </c>
    </row>
    <row r="3" spans="1:3" x14ac:dyDescent="0.4">
      <c r="A3">
        <v>2</v>
      </c>
      <c r="B3" s="18">
        <v>486002</v>
      </c>
      <c r="C3" s="26">
        <v>2.544</v>
      </c>
    </row>
    <row r="4" spans="1:3" x14ac:dyDescent="0.4">
      <c r="A4">
        <v>3</v>
      </c>
      <c r="B4" s="18" t="s">
        <v>73</v>
      </c>
      <c r="C4" s="26">
        <v>2.5028999999999999</v>
      </c>
    </row>
    <row r="5" spans="1:3" x14ac:dyDescent="0.4">
      <c r="A5">
        <v>4</v>
      </c>
      <c r="B5" s="18" t="s">
        <v>74</v>
      </c>
      <c r="C5">
        <v>1.2709999999999999</v>
      </c>
    </row>
    <row r="6" spans="1:3" x14ac:dyDescent="0.4">
      <c r="A6">
        <v>5</v>
      </c>
      <c r="B6" s="18" t="s">
        <v>81</v>
      </c>
      <c r="C6">
        <v>1.1867000000000001</v>
      </c>
    </row>
    <row r="7" spans="1:3" x14ac:dyDescent="0.4">
      <c r="A7">
        <v>6</v>
      </c>
      <c r="B7" s="18" t="s">
        <v>80</v>
      </c>
      <c r="C7">
        <v>1.349</v>
      </c>
    </row>
    <row r="8" spans="1:3" x14ac:dyDescent="0.4">
      <c r="A8">
        <v>7</v>
      </c>
      <c r="B8" s="18" t="s">
        <v>83</v>
      </c>
      <c r="C8">
        <v>1.3220000000000001</v>
      </c>
    </row>
    <row r="9" spans="1:3" x14ac:dyDescent="0.4">
      <c r="A9">
        <v>8</v>
      </c>
      <c r="B9" s="18" t="s">
        <v>85</v>
      </c>
      <c r="C9">
        <v>1.677</v>
      </c>
    </row>
    <row r="10" spans="1:3" x14ac:dyDescent="0.4">
      <c r="A10">
        <v>9</v>
      </c>
      <c r="B10" s="18" t="s">
        <v>88</v>
      </c>
      <c r="C10">
        <v>2.0028999999999999</v>
      </c>
    </row>
    <row r="11" spans="1:3" x14ac:dyDescent="0.4">
      <c r="A11">
        <v>10</v>
      </c>
      <c r="B11" s="18" t="s">
        <v>91</v>
      </c>
      <c r="C11">
        <v>1.7542</v>
      </c>
    </row>
    <row r="12" spans="1:3" x14ac:dyDescent="0.4">
      <c r="A12">
        <v>11</v>
      </c>
      <c r="B12" s="18" t="s">
        <v>95</v>
      </c>
      <c r="C12">
        <v>1.012</v>
      </c>
    </row>
    <row r="13" spans="1:3" x14ac:dyDescent="0.4">
      <c r="A13">
        <v>12</v>
      </c>
      <c r="B13" s="18" t="s">
        <v>97</v>
      </c>
      <c r="C13">
        <v>1.1890000000000001</v>
      </c>
    </row>
    <row r="14" spans="1:3" x14ac:dyDescent="0.4">
      <c r="A14">
        <v>13</v>
      </c>
      <c r="B14" s="18" t="s">
        <v>99</v>
      </c>
      <c r="C14">
        <v>1.0416000000000001</v>
      </c>
    </row>
    <row r="15" spans="1:3" x14ac:dyDescent="0.4">
      <c r="A15">
        <v>14</v>
      </c>
      <c r="B15" s="18" t="s">
        <v>101</v>
      </c>
      <c r="C15">
        <v>1.756</v>
      </c>
    </row>
    <row r="16" spans="1:3" x14ac:dyDescent="0.4">
      <c r="A16">
        <v>15</v>
      </c>
      <c r="B16" s="18" t="s">
        <v>103</v>
      </c>
      <c r="C16">
        <v>1.423</v>
      </c>
    </row>
    <row r="17" spans="1:3" x14ac:dyDescent="0.4">
      <c r="A17">
        <v>16</v>
      </c>
      <c r="B17" s="18" t="s">
        <v>118</v>
      </c>
      <c r="C17">
        <v>1.3180000000000001</v>
      </c>
    </row>
    <row r="18" spans="1:3" x14ac:dyDescent="0.4">
      <c r="A18">
        <v>17</v>
      </c>
      <c r="B18" s="18" t="s">
        <v>114</v>
      </c>
      <c r="C18">
        <v>1.7252000000000001</v>
      </c>
    </row>
    <row r="19" spans="1:3" x14ac:dyDescent="0.4">
      <c r="A19">
        <v>18</v>
      </c>
      <c r="B19" s="18" t="s">
        <v>116</v>
      </c>
      <c r="C19">
        <v>1.1924999999999999</v>
      </c>
    </row>
    <row r="20" spans="1:3" x14ac:dyDescent="0.4">
      <c r="A20">
        <v>19</v>
      </c>
      <c r="B20" s="18" t="s">
        <v>133</v>
      </c>
      <c r="C20">
        <v>1.0076000000000001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2F2FB-676B-43E3-84D1-907861A88D49}">
  <sheetPr codeName="Sheet5"/>
  <dimension ref="A1:P20"/>
  <sheetViews>
    <sheetView tabSelected="1" workbookViewId="0">
      <selection activeCell="H13" sqref="H13"/>
    </sheetView>
  </sheetViews>
  <sheetFormatPr defaultRowHeight="13.9" x14ac:dyDescent="0.4"/>
  <cols>
    <col min="1" max="1" width="3.9296875" bestFit="1" customWidth="1"/>
    <col min="2" max="2" width="34.06640625" customWidth="1"/>
    <col min="3" max="3" width="9.06640625" style="18"/>
    <col min="7" max="7" width="24.265625" customWidth="1"/>
    <col min="8" max="8" width="13.46484375" bestFit="1" customWidth="1"/>
    <col min="9" max="9" width="10.9296875" customWidth="1"/>
    <col min="11" max="11" width="11.73046875" bestFit="1" customWidth="1"/>
    <col min="13" max="13" width="12.86328125" bestFit="1" customWidth="1"/>
    <col min="14" max="14" width="14.86328125" bestFit="1" customWidth="1"/>
    <col min="15" max="15" width="19" bestFit="1" customWidth="1"/>
    <col min="16" max="16" width="15.796875" customWidth="1"/>
  </cols>
  <sheetData>
    <row r="1" spans="1:16" x14ac:dyDescent="0.4">
      <c r="A1" t="s">
        <v>55</v>
      </c>
      <c r="B1" t="s">
        <v>56</v>
      </c>
      <c r="C1" s="18" t="s">
        <v>57</v>
      </c>
      <c r="D1" t="s">
        <v>69</v>
      </c>
      <c r="E1" t="s">
        <v>3</v>
      </c>
      <c r="F1" t="s">
        <v>147</v>
      </c>
      <c r="G1" t="s">
        <v>58</v>
      </c>
      <c r="H1" t="s">
        <v>155</v>
      </c>
      <c r="I1" t="s">
        <v>92</v>
      </c>
      <c r="J1" t="s">
        <v>93</v>
      </c>
      <c r="K1" t="s">
        <v>120</v>
      </c>
      <c r="L1" t="s">
        <v>61</v>
      </c>
      <c r="M1" t="s">
        <v>62</v>
      </c>
      <c r="N1" t="s">
        <v>63</v>
      </c>
      <c r="O1" t="s">
        <v>64</v>
      </c>
      <c r="P1" t="s">
        <v>75</v>
      </c>
    </row>
    <row r="2" spans="1:16" x14ac:dyDescent="0.4">
      <c r="A2">
        <v>1</v>
      </c>
      <c r="B2" t="s">
        <v>59</v>
      </c>
      <c r="C2" s="18">
        <v>270042</v>
      </c>
      <c r="D2" t="s">
        <v>86</v>
      </c>
      <c r="E2" t="s">
        <v>41</v>
      </c>
      <c r="F2" t="s">
        <v>135</v>
      </c>
      <c r="G2" t="s">
        <v>60</v>
      </c>
      <c r="J2">
        <v>11300</v>
      </c>
      <c r="K2">
        <f>I2+J2</f>
        <v>11300</v>
      </c>
      <c r="L2">
        <v>0.13</v>
      </c>
      <c r="M2">
        <v>0.8</v>
      </c>
      <c r="N2">
        <v>0.25</v>
      </c>
      <c r="O2">
        <v>0</v>
      </c>
      <c r="P2">
        <v>123.06</v>
      </c>
    </row>
    <row r="3" spans="1:16" x14ac:dyDescent="0.4">
      <c r="A3">
        <v>2</v>
      </c>
      <c r="B3" t="s">
        <v>65</v>
      </c>
      <c r="C3" s="18">
        <v>486002</v>
      </c>
      <c r="D3" t="s">
        <v>38</v>
      </c>
      <c r="E3" t="s">
        <v>66</v>
      </c>
      <c r="F3" t="s">
        <v>149</v>
      </c>
      <c r="G3" t="s">
        <v>67</v>
      </c>
      <c r="H3">
        <v>1815.24</v>
      </c>
      <c r="I3">
        <v>4000</v>
      </c>
      <c r="K3">
        <f t="shared" ref="K3:K20" si="0">I3+J3</f>
        <v>4000</v>
      </c>
      <c r="L3">
        <v>0.16</v>
      </c>
      <c r="M3">
        <v>1.8</v>
      </c>
      <c r="N3">
        <v>0.35</v>
      </c>
      <c r="O3">
        <v>0</v>
      </c>
      <c r="P3">
        <v>96.07</v>
      </c>
    </row>
    <row r="4" spans="1:16" x14ac:dyDescent="0.4">
      <c r="A4">
        <v>3</v>
      </c>
      <c r="B4" t="s">
        <v>68</v>
      </c>
      <c r="C4" s="18" t="s">
        <v>73</v>
      </c>
      <c r="D4" t="s">
        <v>86</v>
      </c>
      <c r="E4" t="s">
        <v>41</v>
      </c>
      <c r="F4" t="s">
        <v>140</v>
      </c>
      <c r="G4" t="s">
        <v>70</v>
      </c>
      <c r="J4">
        <v>10000</v>
      </c>
      <c r="K4">
        <f t="shared" si="0"/>
        <v>10000</v>
      </c>
      <c r="L4">
        <v>0.12</v>
      </c>
      <c r="M4">
        <v>0.6</v>
      </c>
      <c r="N4">
        <v>0.25</v>
      </c>
      <c r="O4">
        <v>0</v>
      </c>
      <c r="P4">
        <v>74.03</v>
      </c>
    </row>
    <row r="5" spans="1:16" x14ac:dyDescent="0.4">
      <c r="A5">
        <v>4</v>
      </c>
      <c r="B5" t="s">
        <v>71</v>
      </c>
      <c r="C5" s="18" t="s">
        <v>74</v>
      </c>
      <c r="D5" t="s">
        <v>72</v>
      </c>
      <c r="E5" t="s">
        <v>41</v>
      </c>
      <c r="F5" t="s">
        <v>151</v>
      </c>
      <c r="G5" t="s">
        <v>60</v>
      </c>
      <c r="J5">
        <v>28000</v>
      </c>
      <c r="K5">
        <f t="shared" si="0"/>
        <v>28000</v>
      </c>
      <c r="L5">
        <v>0.13</v>
      </c>
      <c r="M5">
        <v>0.8</v>
      </c>
      <c r="N5">
        <v>0.3</v>
      </c>
      <c r="O5">
        <v>0</v>
      </c>
      <c r="P5">
        <v>50.53</v>
      </c>
    </row>
    <row r="6" spans="1:16" x14ac:dyDescent="0.4">
      <c r="A6">
        <v>5</v>
      </c>
      <c r="B6" t="s">
        <v>76</v>
      </c>
      <c r="C6" s="18" t="s">
        <v>81</v>
      </c>
      <c r="D6" t="s">
        <v>77</v>
      </c>
      <c r="E6" t="s">
        <v>66</v>
      </c>
      <c r="G6" t="s">
        <v>78</v>
      </c>
      <c r="K6">
        <f t="shared" si="0"/>
        <v>0</v>
      </c>
      <c r="L6">
        <v>0.08</v>
      </c>
      <c r="M6">
        <v>1</v>
      </c>
      <c r="N6">
        <v>0.3</v>
      </c>
      <c r="O6">
        <v>0</v>
      </c>
      <c r="P6">
        <v>45.32</v>
      </c>
    </row>
    <row r="7" spans="1:16" x14ac:dyDescent="0.4">
      <c r="A7">
        <v>6</v>
      </c>
      <c r="B7" t="s">
        <v>79</v>
      </c>
      <c r="C7" s="18" t="s">
        <v>80</v>
      </c>
      <c r="D7" t="s">
        <v>77</v>
      </c>
      <c r="E7" t="s">
        <v>66</v>
      </c>
      <c r="G7" t="s">
        <v>78</v>
      </c>
      <c r="H7">
        <v>3698</v>
      </c>
      <c r="I7">
        <v>5000</v>
      </c>
      <c r="K7">
        <f t="shared" si="0"/>
        <v>5000</v>
      </c>
      <c r="L7">
        <v>0.08</v>
      </c>
      <c r="M7">
        <v>0.75</v>
      </c>
      <c r="N7">
        <v>0.22</v>
      </c>
      <c r="O7">
        <v>0</v>
      </c>
      <c r="P7">
        <v>42.56</v>
      </c>
    </row>
    <row r="8" spans="1:16" x14ac:dyDescent="0.4">
      <c r="A8">
        <v>7</v>
      </c>
      <c r="B8" t="s">
        <v>82</v>
      </c>
      <c r="C8" s="18" t="s">
        <v>83</v>
      </c>
      <c r="D8" t="s">
        <v>77</v>
      </c>
      <c r="E8" t="s">
        <v>40</v>
      </c>
      <c r="G8" t="s">
        <v>78</v>
      </c>
      <c r="J8">
        <v>8400</v>
      </c>
      <c r="K8">
        <f t="shared" si="0"/>
        <v>8400</v>
      </c>
      <c r="L8">
        <v>0.08</v>
      </c>
      <c r="M8">
        <v>0.3</v>
      </c>
      <c r="N8">
        <v>0.2</v>
      </c>
      <c r="O8">
        <v>0</v>
      </c>
      <c r="P8">
        <v>136.28</v>
      </c>
    </row>
    <row r="9" spans="1:16" x14ac:dyDescent="0.4">
      <c r="A9">
        <v>8</v>
      </c>
      <c r="B9" t="s">
        <v>84</v>
      </c>
      <c r="C9" s="18" t="s">
        <v>85</v>
      </c>
      <c r="D9" t="s">
        <v>77</v>
      </c>
      <c r="E9" t="s">
        <v>40</v>
      </c>
      <c r="G9" t="s">
        <v>78</v>
      </c>
      <c r="K9">
        <f t="shared" si="0"/>
        <v>0</v>
      </c>
      <c r="L9">
        <v>0.08</v>
      </c>
      <c r="M9">
        <v>0.7</v>
      </c>
      <c r="N9">
        <v>0.2</v>
      </c>
      <c r="O9">
        <v>0</v>
      </c>
      <c r="P9">
        <v>126.61</v>
      </c>
    </row>
    <row r="10" spans="1:16" x14ac:dyDescent="0.4">
      <c r="A10">
        <v>9</v>
      </c>
      <c r="B10" t="s">
        <v>87</v>
      </c>
      <c r="C10" s="18" t="s">
        <v>88</v>
      </c>
      <c r="D10" t="s">
        <v>86</v>
      </c>
      <c r="E10" t="s">
        <v>40</v>
      </c>
      <c r="F10" t="s">
        <v>141</v>
      </c>
      <c r="G10" t="s">
        <v>89</v>
      </c>
      <c r="J10">
        <v>11000</v>
      </c>
      <c r="K10">
        <f t="shared" si="0"/>
        <v>11000</v>
      </c>
      <c r="L10">
        <v>0.12</v>
      </c>
      <c r="M10">
        <v>0.8</v>
      </c>
      <c r="N10">
        <v>0.15</v>
      </c>
      <c r="O10">
        <v>0</v>
      </c>
      <c r="P10">
        <v>128.09</v>
      </c>
    </row>
    <row r="11" spans="1:16" x14ac:dyDescent="0.4">
      <c r="A11">
        <v>10</v>
      </c>
      <c r="B11" t="s">
        <v>90</v>
      </c>
      <c r="C11" s="18" t="s">
        <v>91</v>
      </c>
      <c r="D11" t="s">
        <v>86</v>
      </c>
      <c r="E11" t="s">
        <v>40</v>
      </c>
      <c r="F11" t="s">
        <v>142</v>
      </c>
      <c r="G11" t="s">
        <v>89</v>
      </c>
      <c r="H11">
        <v>1118.93</v>
      </c>
      <c r="I11">
        <v>1500</v>
      </c>
      <c r="J11">
        <v>22500</v>
      </c>
      <c r="K11">
        <f t="shared" si="0"/>
        <v>24000</v>
      </c>
      <c r="L11">
        <v>0.15</v>
      </c>
      <c r="M11">
        <v>1.2</v>
      </c>
      <c r="N11">
        <v>0.2</v>
      </c>
      <c r="O11">
        <v>0</v>
      </c>
      <c r="P11">
        <v>156.03</v>
      </c>
    </row>
    <row r="12" spans="1:16" x14ac:dyDescent="0.4">
      <c r="A12">
        <v>11</v>
      </c>
      <c r="B12" t="s">
        <v>94</v>
      </c>
      <c r="C12" s="18" t="s">
        <v>95</v>
      </c>
      <c r="D12" t="s">
        <v>86</v>
      </c>
      <c r="E12" t="s">
        <v>40</v>
      </c>
      <c r="F12" t="s">
        <v>143</v>
      </c>
      <c r="G12" t="s">
        <v>70</v>
      </c>
      <c r="H12">
        <v>4506.07</v>
      </c>
      <c r="I12">
        <v>4500</v>
      </c>
      <c r="K12">
        <f t="shared" si="0"/>
        <v>4500</v>
      </c>
      <c r="L12">
        <v>0.12</v>
      </c>
      <c r="M12">
        <v>0.5</v>
      </c>
      <c r="N12">
        <v>0.1</v>
      </c>
    </row>
    <row r="13" spans="1:16" x14ac:dyDescent="0.4">
      <c r="A13">
        <v>12</v>
      </c>
      <c r="B13" t="s">
        <v>96</v>
      </c>
      <c r="C13" s="18" t="s">
        <v>97</v>
      </c>
      <c r="D13" t="s">
        <v>86</v>
      </c>
      <c r="E13" t="s">
        <v>40</v>
      </c>
      <c r="F13" t="s">
        <v>142</v>
      </c>
      <c r="G13" t="s">
        <v>60</v>
      </c>
      <c r="H13">
        <v>1646.48</v>
      </c>
      <c r="I13">
        <v>2000</v>
      </c>
      <c r="K13">
        <f t="shared" si="0"/>
        <v>2000</v>
      </c>
      <c r="L13">
        <v>0</v>
      </c>
      <c r="M13">
        <v>0.5</v>
      </c>
      <c r="N13">
        <v>0.1</v>
      </c>
      <c r="O13">
        <v>0.25</v>
      </c>
    </row>
    <row r="14" spans="1:16" x14ac:dyDescent="0.4">
      <c r="A14">
        <v>13</v>
      </c>
      <c r="B14" t="s">
        <v>98</v>
      </c>
      <c r="C14" s="18" t="s">
        <v>99</v>
      </c>
      <c r="D14" t="s">
        <v>86</v>
      </c>
      <c r="E14" t="s">
        <v>40</v>
      </c>
      <c r="F14" t="s">
        <v>141</v>
      </c>
      <c r="G14" t="s">
        <v>60</v>
      </c>
      <c r="K14">
        <f t="shared" si="0"/>
        <v>0</v>
      </c>
      <c r="L14">
        <v>0</v>
      </c>
      <c r="M14">
        <v>0.5</v>
      </c>
      <c r="N14">
        <v>0.1</v>
      </c>
      <c r="O14">
        <v>0.25</v>
      </c>
    </row>
    <row r="15" spans="1:16" x14ac:dyDescent="0.4">
      <c r="A15">
        <v>14</v>
      </c>
      <c r="B15" t="s">
        <v>100</v>
      </c>
      <c r="C15" s="18" t="s">
        <v>101</v>
      </c>
      <c r="D15" t="s">
        <v>38</v>
      </c>
      <c r="E15" t="s">
        <v>40</v>
      </c>
      <c r="F15" t="s">
        <v>149</v>
      </c>
      <c r="G15" t="s">
        <v>78</v>
      </c>
      <c r="J15">
        <v>8500</v>
      </c>
      <c r="K15">
        <f t="shared" si="0"/>
        <v>8500</v>
      </c>
      <c r="L15">
        <v>0.15</v>
      </c>
      <c r="M15">
        <v>1.5</v>
      </c>
      <c r="N15">
        <v>0.25</v>
      </c>
      <c r="O15">
        <v>0</v>
      </c>
      <c r="P15">
        <v>90</v>
      </c>
    </row>
    <row r="16" spans="1:16" x14ac:dyDescent="0.4">
      <c r="A16">
        <v>15</v>
      </c>
      <c r="B16" t="s">
        <v>102</v>
      </c>
      <c r="C16" s="18" t="s">
        <v>103</v>
      </c>
      <c r="D16" t="s">
        <v>86</v>
      </c>
      <c r="E16" t="s">
        <v>40</v>
      </c>
      <c r="F16" t="s">
        <v>141</v>
      </c>
      <c r="G16" t="s">
        <v>60</v>
      </c>
      <c r="J16">
        <v>6400</v>
      </c>
      <c r="K16">
        <f t="shared" si="0"/>
        <v>6400</v>
      </c>
      <c r="L16">
        <v>0.12</v>
      </c>
      <c r="M16">
        <v>0.5</v>
      </c>
      <c r="N16">
        <v>0.15</v>
      </c>
      <c r="O16">
        <v>0</v>
      </c>
    </row>
    <row r="17" spans="1:16" x14ac:dyDescent="0.4">
      <c r="A17">
        <v>16</v>
      </c>
      <c r="B17" t="s">
        <v>104</v>
      </c>
      <c r="C17" s="18" t="s">
        <v>118</v>
      </c>
      <c r="D17" t="s">
        <v>38</v>
      </c>
      <c r="E17" t="s">
        <v>41</v>
      </c>
      <c r="F17" t="s">
        <v>149</v>
      </c>
      <c r="G17" t="s">
        <v>105</v>
      </c>
      <c r="J17">
        <v>19000</v>
      </c>
      <c r="K17">
        <f t="shared" si="0"/>
        <v>19000</v>
      </c>
      <c r="L17">
        <v>0.12</v>
      </c>
      <c r="M17">
        <v>1.2</v>
      </c>
      <c r="N17">
        <v>0.25</v>
      </c>
      <c r="O17">
        <v>0</v>
      </c>
    </row>
    <row r="18" spans="1:16" x14ac:dyDescent="0.4">
      <c r="A18">
        <v>17</v>
      </c>
      <c r="B18" t="s">
        <v>113</v>
      </c>
      <c r="C18" s="18" t="s">
        <v>114</v>
      </c>
      <c r="D18" t="s">
        <v>86</v>
      </c>
      <c r="E18" t="s">
        <v>40</v>
      </c>
      <c r="F18" t="s">
        <v>145</v>
      </c>
      <c r="G18" t="s">
        <v>115</v>
      </c>
      <c r="J18">
        <v>4000</v>
      </c>
      <c r="K18">
        <f t="shared" si="0"/>
        <v>4000</v>
      </c>
      <c r="L18">
        <v>0.12</v>
      </c>
      <c r="M18">
        <v>0.5</v>
      </c>
      <c r="N18">
        <v>0.1</v>
      </c>
      <c r="O18">
        <v>0</v>
      </c>
    </row>
    <row r="19" spans="1:16" x14ac:dyDescent="0.4">
      <c r="A19">
        <v>18</v>
      </c>
      <c r="B19" t="s">
        <v>117</v>
      </c>
      <c r="C19" s="18" t="s">
        <v>116</v>
      </c>
      <c r="D19" t="s">
        <v>72</v>
      </c>
      <c r="E19" t="s">
        <v>41</v>
      </c>
      <c r="F19" t="s">
        <v>151</v>
      </c>
      <c r="G19" t="s">
        <v>60</v>
      </c>
      <c r="H19">
        <v>843.03</v>
      </c>
      <c r="I19">
        <v>1000</v>
      </c>
      <c r="K19">
        <f t="shared" si="0"/>
        <v>1000</v>
      </c>
      <c r="L19">
        <v>0.12</v>
      </c>
      <c r="M19">
        <v>0.8</v>
      </c>
      <c r="N19">
        <v>0.25</v>
      </c>
      <c r="O19">
        <v>0</v>
      </c>
      <c r="P19" s="19">
        <v>0.2</v>
      </c>
    </row>
    <row r="20" spans="1:16" x14ac:dyDescent="0.4">
      <c r="A20">
        <v>19</v>
      </c>
      <c r="B20" t="s">
        <v>132</v>
      </c>
      <c r="C20" s="18" t="s">
        <v>133</v>
      </c>
      <c r="D20" t="s">
        <v>38</v>
      </c>
      <c r="E20" t="s">
        <v>40</v>
      </c>
      <c r="F20" t="s">
        <v>149</v>
      </c>
      <c r="G20" t="s">
        <v>105</v>
      </c>
      <c r="H20">
        <v>509.07</v>
      </c>
      <c r="I20">
        <v>500</v>
      </c>
      <c r="K20">
        <f t="shared" si="0"/>
        <v>500</v>
      </c>
      <c r="L20">
        <v>0.1</v>
      </c>
      <c r="M20">
        <v>1</v>
      </c>
      <c r="N20">
        <v>0.22</v>
      </c>
      <c r="P20" s="19">
        <v>0.34</v>
      </c>
    </row>
  </sheetData>
  <autoFilter ref="A1:P19" xr:uid="{4FD7E8AA-4B67-48F0-BD8C-2029B1B64EFB}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803-417E-4A09-98DF-47D80DEB6FA6}">
  <sheetPr codeName="Sheet6"/>
  <dimension ref="B2:E15"/>
  <sheetViews>
    <sheetView workbookViewId="0">
      <selection activeCell="E10" sqref="E10"/>
    </sheetView>
  </sheetViews>
  <sheetFormatPr defaultRowHeight="13.9" x14ac:dyDescent="0.4"/>
  <cols>
    <col min="2" max="2" width="14.53125" bestFit="1" customWidth="1"/>
    <col min="3" max="3" width="6.06640625" bestFit="1" customWidth="1"/>
  </cols>
  <sheetData>
    <row r="2" spans="2:5" x14ac:dyDescent="0.4">
      <c r="B2" t="s">
        <v>18</v>
      </c>
      <c r="C2">
        <v>28600</v>
      </c>
      <c r="D2">
        <v>16000</v>
      </c>
    </row>
    <row r="3" spans="2:5" x14ac:dyDescent="0.4">
      <c r="B3" t="s">
        <v>19</v>
      </c>
      <c r="C3">
        <v>37800</v>
      </c>
      <c r="D3">
        <v>25000</v>
      </c>
    </row>
    <row r="4" spans="2:5" x14ac:dyDescent="0.4">
      <c r="B4" t="s">
        <v>20</v>
      </c>
      <c r="C4">
        <v>9400</v>
      </c>
    </row>
    <row r="5" spans="2:5" x14ac:dyDescent="0.4">
      <c r="B5" t="s">
        <v>21</v>
      </c>
      <c r="C5">
        <v>9500</v>
      </c>
    </row>
    <row r="6" spans="2:5" x14ac:dyDescent="0.4">
      <c r="B6" t="s">
        <v>22</v>
      </c>
      <c r="C6">
        <v>3500</v>
      </c>
    </row>
    <row r="7" spans="2:5" x14ac:dyDescent="0.4">
      <c r="B7" t="s">
        <v>23</v>
      </c>
      <c r="C7">
        <v>2500</v>
      </c>
    </row>
    <row r="8" spans="2:5" x14ac:dyDescent="0.4">
      <c r="B8" s="4" t="s">
        <v>24</v>
      </c>
      <c r="C8">
        <v>58000</v>
      </c>
    </row>
    <row r="15" spans="2:5" x14ac:dyDescent="0.4">
      <c r="E15">
        <f>184/8</f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投资</vt:lpstr>
      <vt:lpstr>Sheet2</vt:lpstr>
      <vt:lpstr>投资配置方案</vt:lpstr>
      <vt:lpstr>Summary</vt:lpstr>
      <vt:lpstr>JJ_MASTER</vt:lpstr>
      <vt:lpstr>基金持有</vt:lpstr>
      <vt:lpstr>钱币投资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2019-12-03T08:02:43Z</dcterms:modified>
</cp:coreProperties>
</file>